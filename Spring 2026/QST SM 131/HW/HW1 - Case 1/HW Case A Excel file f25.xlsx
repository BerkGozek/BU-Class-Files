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rkgozek/Documents/BU-Class-Files/Spring 2026/QST SM 131/HW/HW1 - Case 1/"/>
    </mc:Choice>
  </mc:AlternateContent>
  <xr:revisionPtr revIDLastSave="0" documentId="13_ncr:1_{64F06ADE-B892-2D47-B18C-FD509B799BA2}" xr6:coauthVersionLast="47" xr6:coauthVersionMax="47" xr10:uidLastSave="{00000000-0000-0000-0000-000000000000}"/>
  <bookViews>
    <workbookView xWindow="17060" yWindow="2580" windowWidth="18940" windowHeight="16780" xr2:uid="{AAA664C2-FFBF-4A86-A12A-E831ACF7A1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1" l="1"/>
  <c r="F38" i="1"/>
  <c r="B38" i="1"/>
  <c r="J15" i="1"/>
  <c r="B21" i="1"/>
  <c r="B19" i="1"/>
  <c r="B15" i="1"/>
  <c r="B13" i="1"/>
  <c r="B12" i="1"/>
  <c r="B9" i="1"/>
  <c r="B7" i="1"/>
</calcChain>
</file>

<file path=xl/sharedStrings.xml><?xml version="1.0" encoding="utf-8"?>
<sst xmlns="http://schemas.openxmlformats.org/spreadsheetml/2006/main" count="93" uniqueCount="54">
  <si>
    <t>Company A</t>
  </si>
  <si>
    <t xml:space="preserve">Company A </t>
  </si>
  <si>
    <t>For the year ended December 31, 2019</t>
  </si>
  <si>
    <t>Income Statement</t>
  </si>
  <si>
    <t>Balance Sheet</t>
  </si>
  <si>
    <t>For the Year Ending December 31, 2019</t>
  </si>
  <si>
    <t>For the Year Ended December 31, 2019</t>
  </si>
  <si>
    <t>Account</t>
  </si>
  <si>
    <t>Amount         ($ millions)</t>
  </si>
  <si>
    <t>IS</t>
  </si>
  <si>
    <t>BS</t>
  </si>
  <si>
    <t>A</t>
  </si>
  <si>
    <t>L</t>
  </si>
  <si>
    <t>E</t>
  </si>
  <si>
    <t>Accounts payable</t>
  </si>
  <si>
    <t>Accounts receivable</t>
  </si>
  <si>
    <t>Accrued expenses and other current liabilities</t>
  </si>
  <si>
    <t>Additional paid-in capital</t>
  </si>
  <si>
    <t>Cash, cash equivalents, and marketable securities</t>
  </si>
  <si>
    <t>Cost of revenue</t>
  </si>
  <si>
    <t>General and administrative expense</t>
  </si>
  <si>
    <t>Intangible assets</t>
  </si>
  <si>
    <t>Long-term liabilities</t>
  </si>
  <si>
    <t>Marketing and sales expense</t>
  </si>
  <si>
    <t>Total Assets</t>
  </si>
  <si>
    <t>Other long-term assets</t>
  </si>
  <si>
    <t>Net Income</t>
  </si>
  <si>
    <t>Prepaid expenses and other current assets</t>
  </si>
  <si>
    <t>Property and equipment, net</t>
  </si>
  <si>
    <t>Research and development expense</t>
  </si>
  <si>
    <t>Retained earnings</t>
  </si>
  <si>
    <t>Revenue</t>
  </si>
  <si>
    <t>Tax and other expense</t>
  </si>
  <si>
    <r>
      <rPr>
        <b/>
        <u/>
        <sz val="11"/>
        <color theme="1"/>
        <rFont val="Aptos Narrow"/>
        <family val="2"/>
        <scheme val="minor"/>
      </rPr>
      <t>Assignment:</t>
    </r>
    <r>
      <rPr>
        <sz val="11"/>
        <color theme="1"/>
        <rFont val="Aptos Narrow"/>
        <family val="2"/>
        <scheme val="minor"/>
      </rPr>
      <t xml:space="preserve"> using the above information</t>
    </r>
  </si>
  <si>
    <r>
      <t xml:space="preserve">  (1) check (</t>
    </r>
    <r>
      <rPr>
        <sz val="11"/>
        <color theme="1"/>
        <rFont val="Aptos Narrow"/>
        <family val="2"/>
      </rPr>
      <t>✓</t>
    </r>
    <r>
      <rPr>
        <sz val="11"/>
        <color theme="1"/>
        <rFont val="Aptos Narrow"/>
        <family val="2"/>
        <scheme val="minor"/>
      </rPr>
      <t>) if the account relates to the Income Statement (IS) or Balance Sheet (BS)</t>
    </r>
  </si>
  <si>
    <t>Total Liabilities and Shareholders' Equity</t>
  </si>
  <si>
    <t xml:space="preserve">  (2) for BS items, check (✓) if the account relates to Assets (A), Liabilities (L), or Equity (E)</t>
  </si>
  <si>
    <t xml:space="preserve">  (3) construct the Income Statement and Balance Sheet for this firm, putting the accounts</t>
  </si>
  <si>
    <t xml:space="preserve">         into proper order and using appropriate subtotals and headings</t>
  </si>
  <si>
    <t>X</t>
  </si>
  <si>
    <t>rev</t>
  </si>
  <si>
    <t>cost of rev</t>
  </si>
  <si>
    <t>Gen&amp;Andm</t>
  </si>
  <si>
    <t>Market&amp;sales</t>
  </si>
  <si>
    <t>RND</t>
  </si>
  <si>
    <t>Tax&amp;othr</t>
  </si>
  <si>
    <t>Tot</t>
  </si>
  <si>
    <t>Cash&amp;eqv</t>
  </si>
  <si>
    <t>Acc rec</t>
  </si>
  <si>
    <t>Prepaid exp</t>
  </si>
  <si>
    <t>prop &amp; equip</t>
  </si>
  <si>
    <t>Intang Assts</t>
  </si>
  <si>
    <t>Other longterm assts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</si>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</sst>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0" fillId="0" borderId="0" xfId="1" applyNumberFormat="1" applyFont="1"/>
    <xf numFmtId="0" fontId="5" fillId="0" borderId="1" xfId="0" applyFont="1" applyBorder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0" fillId="0" borderId="2" xfId="0" applyBorder="1"/>
    <xf numFmtId="164" fontId="0" fillId="0" borderId="3" xfId="1" applyNumberFormat="1" applyFont="1" applyBorder="1"/>
    <xf numFmtId="164" fontId="2" fillId="0" borderId="0" xfId="1" applyNumberFormat="1" applyFont="1"/>
    <xf numFmtId="164" fontId="2" fillId="0" borderId="2" xfId="0" applyNumberFormat="1" applyFont="1" applyBorder="1"/>
    <xf numFmtId="164" fontId="2" fillId="0" borderId="4" xfId="0" applyNumberFormat="1" applyFont="1" applyBorder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3BFE1-F533-4ADA-8F78-E065D82AF3B4}">
  <dimension ref="A1:O46"/>
  <sheetViews>
    <sheetView tabSelected="1" topLeftCell="A29" zoomScale="161" workbookViewId="0">
      <selection activeCell="C40" sqref="C40"/>
    </sheetView>
  </sheetViews>
  <sheetFormatPr baseColWidth="10" defaultColWidth="8.83203125" defaultRowHeight="15" x14ac:dyDescent="0.2"/>
  <cols>
    <col min="1" max="1" width="26.1640625" customWidth="1"/>
    <col min="5" max="5" width="15.1640625" customWidth="1"/>
    <col min="8" max="8" width="23.1640625" customWidth="1"/>
    <col min="9" max="9" width="40.1640625" customWidth="1"/>
    <col min="11" max="11" width="28.1640625" customWidth="1"/>
    <col min="14" max="14" width="8.83203125" customWidth="1"/>
  </cols>
  <sheetData>
    <row r="1" spans="1:15" ht="16" x14ac:dyDescent="0.2">
      <c r="A1" s="15" t="s">
        <v>0</v>
      </c>
      <c r="B1" s="15"/>
      <c r="C1" s="15"/>
      <c r="D1" s="15"/>
      <c r="E1" s="15"/>
      <c r="F1" s="15"/>
      <c r="G1" s="15"/>
      <c r="H1" s="1"/>
      <c r="I1" s="14" t="s">
        <v>1</v>
      </c>
      <c r="J1" s="14"/>
      <c r="K1" s="14"/>
      <c r="L1" s="1"/>
      <c r="M1" s="14" t="s">
        <v>1</v>
      </c>
      <c r="N1" s="14"/>
      <c r="O1" s="14"/>
    </row>
    <row r="2" spans="1:15" ht="16" x14ac:dyDescent="0.2">
      <c r="A2" s="15" t="s">
        <v>2</v>
      </c>
      <c r="B2" s="15"/>
      <c r="C2" s="15"/>
      <c r="D2" s="15"/>
      <c r="E2" s="15"/>
      <c r="F2" s="15"/>
      <c r="G2" s="15"/>
      <c r="H2" s="1"/>
      <c r="I2" s="14" t="s">
        <v>3</v>
      </c>
      <c r="J2" s="14"/>
      <c r="K2" s="14"/>
      <c r="L2" s="1"/>
      <c r="M2" s="14" t="s">
        <v>4</v>
      </c>
      <c r="N2" s="14"/>
      <c r="O2" s="14"/>
    </row>
    <row r="3" spans="1:15" ht="16" x14ac:dyDescent="0.2">
      <c r="H3" s="1"/>
      <c r="I3" s="14" t="s">
        <v>5</v>
      </c>
      <c r="J3" s="14"/>
      <c r="K3" s="14"/>
      <c r="L3" s="1"/>
      <c r="M3" s="14" t="s">
        <v>6</v>
      </c>
      <c r="N3" s="14"/>
      <c r="O3" s="14"/>
    </row>
    <row r="4" spans="1:15" ht="48" x14ac:dyDescent="0.2">
      <c r="A4" s="2" t="s">
        <v>7</v>
      </c>
      <c r="B4" s="3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1"/>
      <c r="I4" s="2"/>
      <c r="J4" s="3"/>
      <c r="L4" s="1"/>
    </row>
    <row r="5" spans="1:15" x14ac:dyDescent="0.2">
      <c r="A5" t="s">
        <v>14</v>
      </c>
      <c r="B5" s="5">
        <v>1363</v>
      </c>
      <c r="C5" s="16"/>
      <c r="D5" s="6" t="s">
        <v>39</v>
      </c>
      <c r="E5" s="16"/>
      <c r="F5" s="6" t="s">
        <v>39</v>
      </c>
      <c r="G5" s="16"/>
      <c r="H5" s="1"/>
      <c r="I5" s="9" t="s">
        <v>18</v>
      </c>
      <c r="J5" s="10">
        <v>54855</v>
      </c>
      <c r="K5" s="5"/>
      <c r="L5" s="1"/>
      <c r="N5" s="5"/>
    </row>
    <row r="6" spans="1:15" x14ac:dyDescent="0.2">
      <c r="A6" t="s">
        <v>15</v>
      </c>
      <c r="B6" s="5">
        <v>9518</v>
      </c>
      <c r="C6" s="16"/>
      <c r="D6" s="6" t="s">
        <v>39</v>
      </c>
      <c r="E6" s="6" t="s">
        <v>39</v>
      </c>
      <c r="F6" s="16"/>
      <c r="G6" s="16"/>
      <c r="H6" s="1"/>
      <c r="I6" t="s">
        <v>19</v>
      </c>
      <c r="J6" s="5">
        <v>12770</v>
      </c>
      <c r="L6" s="1"/>
      <c r="N6" s="5"/>
    </row>
    <row r="7" spans="1:15" x14ac:dyDescent="0.2">
      <c r="A7" t="s">
        <v>16</v>
      </c>
      <c r="B7" s="5">
        <f>886+800+11735+269</f>
        <v>13690</v>
      </c>
      <c r="C7" s="16"/>
      <c r="D7" s="6" t="s">
        <v>39</v>
      </c>
      <c r="E7" s="16"/>
      <c r="F7" s="6" t="s">
        <v>39</v>
      </c>
      <c r="G7" s="16"/>
      <c r="H7" s="1"/>
      <c r="I7" s="9" t="s">
        <v>23</v>
      </c>
      <c r="J7" s="10">
        <v>9876</v>
      </c>
      <c r="L7" s="1"/>
      <c r="N7" s="5"/>
    </row>
    <row r="8" spans="1:15" x14ac:dyDescent="0.2">
      <c r="A8" t="s">
        <v>17</v>
      </c>
      <c r="B8" s="5">
        <v>45851</v>
      </c>
      <c r="C8" s="16"/>
      <c r="D8" s="6" t="s">
        <v>39</v>
      </c>
      <c r="E8" s="16"/>
      <c r="F8" s="16"/>
      <c r="G8" s="6" t="s">
        <v>39</v>
      </c>
      <c r="H8" s="1"/>
      <c r="I8" t="s">
        <v>29</v>
      </c>
      <c r="J8" s="5">
        <v>13600</v>
      </c>
      <c r="K8" s="5"/>
      <c r="L8" s="1"/>
      <c r="M8" s="7"/>
      <c r="N8" s="5"/>
      <c r="O8" s="8"/>
    </row>
    <row r="9" spans="1:15" x14ac:dyDescent="0.2">
      <c r="A9" s="9" t="s">
        <v>18</v>
      </c>
      <c r="B9" s="10">
        <f>19079+35776</f>
        <v>54855</v>
      </c>
      <c r="C9" s="16" t="s">
        <v>39</v>
      </c>
      <c r="D9" s="6"/>
      <c r="E9" s="6"/>
      <c r="F9" s="16"/>
      <c r="G9" s="16"/>
      <c r="H9" s="1"/>
      <c r="I9" t="s">
        <v>31</v>
      </c>
      <c r="J9" s="5">
        <v>70697</v>
      </c>
      <c r="K9" s="5"/>
      <c r="L9" s="1"/>
      <c r="N9" s="5"/>
    </row>
    <row r="10" spans="1:15" x14ac:dyDescent="0.2">
      <c r="A10" t="s">
        <v>19</v>
      </c>
      <c r="B10" s="5">
        <v>12770</v>
      </c>
      <c r="C10" s="6" t="s">
        <v>39</v>
      </c>
      <c r="D10" s="16"/>
      <c r="E10" s="16"/>
      <c r="F10" s="16"/>
      <c r="G10" s="16"/>
      <c r="H10" s="1"/>
      <c r="I10" t="s">
        <v>32</v>
      </c>
      <c r="J10" s="5">
        <v>5501</v>
      </c>
      <c r="K10" s="5"/>
      <c r="L10" s="1"/>
      <c r="N10" s="5"/>
    </row>
    <row r="11" spans="1:15" x14ac:dyDescent="0.2">
      <c r="A11" t="s">
        <v>20</v>
      </c>
      <c r="B11" s="5">
        <v>10465</v>
      </c>
      <c r="C11" s="6"/>
      <c r="D11" s="16" t="s">
        <v>39</v>
      </c>
      <c r="E11" s="16" t="s">
        <v>39</v>
      </c>
      <c r="F11" s="16"/>
      <c r="G11" s="16"/>
      <c r="H11" s="1"/>
      <c r="J11" s="5"/>
      <c r="K11" s="5"/>
      <c r="L11" s="1"/>
      <c r="N11" s="5"/>
    </row>
    <row r="12" spans="1:15" x14ac:dyDescent="0.2">
      <c r="A12" t="s">
        <v>21</v>
      </c>
      <c r="B12" s="5">
        <f>894+18715</f>
        <v>19609</v>
      </c>
      <c r="C12" s="16"/>
      <c r="D12" s="6" t="s">
        <v>39</v>
      </c>
      <c r="E12" s="6" t="s">
        <v>39</v>
      </c>
      <c r="F12" s="16"/>
      <c r="G12" s="16"/>
      <c r="H12" s="1"/>
      <c r="J12" s="5"/>
      <c r="K12" s="5"/>
      <c r="L12" s="1"/>
      <c r="N12" s="5"/>
    </row>
    <row r="13" spans="1:15" x14ac:dyDescent="0.2">
      <c r="A13" t="s">
        <v>22</v>
      </c>
      <c r="B13" s="5">
        <f>9524+7745</f>
        <v>17269</v>
      </c>
      <c r="C13" s="16"/>
      <c r="D13" s="6" t="s">
        <v>39</v>
      </c>
      <c r="E13" s="16" t="s">
        <v>39</v>
      </c>
      <c r="F13" s="6"/>
      <c r="G13" s="16"/>
      <c r="H13" s="1"/>
      <c r="L13" s="1"/>
      <c r="M13" s="7"/>
      <c r="N13" s="11"/>
      <c r="O13" s="12"/>
    </row>
    <row r="14" spans="1:15" ht="16" thickBot="1" x14ac:dyDescent="0.25">
      <c r="A14" s="9" t="s">
        <v>23</v>
      </c>
      <c r="B14" s="10">
        <v>9876</v>
      </c>
      <c r="C14" s="6" t="s">
        <v>39</v>
      </c>
      <c r="D14" s="16"/>
      <c r="E14" s="16"/>
      <c r="F14" s="16"/>
      <c r="G14" s="16"/>
      <c r="H14" s="1"/>
      <c r="K14" s="5"/>
      <c r="L14" s="1"/>
      <c r="M14" s="7" t="s">
        <v>24</v>
      </c>
      <c r="N14" s="11"/>
      <c r="O14" s="13"/>
    </row>
    <row r="15" spans="1:15" ht="16" thickBot="1" x14ac:dyDescent="0.25">
      <c r="A15" t="s">
        <v>25</v>
      </c>
      <c r="B15" s="5">
        <f>9460+2759</f>
        <v>12219</v>
      </c>
      <c r="C15" s="16"/>
      <c r="D15" s="6" t="s">
        <v>39</v>
      </c>
      <c r="E15" s="6" t="s">
        <v>39</v>
      </c>
      <c r="F15" s="16"/>
      <c r="G15" s="16"/>
      <c r="H15" s="1"/>
      <c r="I15" s="7" t="s">
        <v>26</v>
      </c>
      <c r="J15" s="8">
        <f>SUM(J5:J11)</f>
        <v>167299</v>
      </c>
      <c r="K15" s="13"/>
      <c r="L15" s="1"/>
      <c r="N15" s="5"/>
    </row>
    <row r="16" spans="1:15" x14ac:dyDescent="0.2">
      <c r="A16" t="s">
        <v>27</v>
      </c>
      <c r="B16" s="5">
        <v>1852</v>
      </c>
      <c r="C16" s="16"/>
      <c r="D16" s="6" t="s">
        <v>39</v>
      </c>
      <c r="E16" s="6" t="s">
        <v>39</v>
      </c>
      <c r="F16" s="16"/>
      <c r="G16" s="16"/>
      <c r="H16" s="1"/>
      <c r="L16" s="1"/>
      <c r="N16" s="5"/>
      <c r="O16" s="5"/>
    </row>
    <row r="17" spans="1:15" x14ac:dyDescent="0.2">
      <c r="A17" t="s">
        <v>28</v>
      </c>
      <c r="B17" s="5">
        <v>35323</v>
      </c>
      <c r="C17" s="16"/>
      <c r="D17" s="6" t="s">
        <v>39</v>
      </c>
      <c r="E17" s="6" t="s">
        <v>39</v>
      </c>
      <c r="F17" s="16"/>
      <c r="G17" s="16"/>
      <c r="H17" s="1"/>
      <c r="L17" s="1"/>
      <c r="N17" s="5"/>
      <c r="O17" s="5"/>
    </row>
    <row r="18" spans="1:15" x14ac:dyDescent="0.2">
      <c r="A18" t="s">
        <v>29</v>
      </c>
      <c r="B18" s="5">
        <v>13600</v>
      </c>
      <c r="C18" s="6" t="s">
        <v>39</v>
      </c>
      <c r="D18" s="16"/>
      <c r="E18" s="16"/>
      <c r="F18" s="16"/>
      <c r="G18" s="16"/>
      <c r="H18" s="1"/>
      <c r="L18" s="1"/>
      <c r="N18" s="5"/>
      <c r="O18" s="5"/>
    </row>
    <row r="19" spans="1:15" x14ac:dyDescent="0.2">
      <c r="A19" s="9" t="s">
        <v>30</v>
      </c>
      <c r="B19" s="10">
        <f>55692-489</f>
        <v>55203</v>
      </c>
      <c r="C19" s="16"/>
      <c r="D19" s="6" t="s">
        <v>39</v>
      </c>
      <c r="E19" s="16"/>
      <c r="F19" s="16"/>
      <c r="G19" s="6" t="s">
        <v>39</v>
      </c>
      <c r="H19" s="1"/>
      <c r="L19" s="1"/>
      <c r="N19" s="5"/>
      <c r="O19" s="5"/>
    </row>
    <row r="20" spans="1:15" x14ac:dyDescent="0.2">
      <c r="A20" t="s">
        <v>31</v>
      </c>
      <c r="B20" s="5">
        <v>70697</v>
      </c>
      <c r="C20" s="6" t="s">
        <v>39</v>
      </c>
      <c r="D20" s="16"/>
      <c r="E20" s="16"/>
      <c r="F20" s="16"/>
      <c r="G20" s="16"/>
      <c r="H20" s="1"/>
      <c r="L20" s="1"/>
      <c r="M20" s="7"/>
      <c r="N20" s="5"/>
      <c r="O20" s="5"/>
    </row>
    <row r="21" spans="1:15" x14ac:dyDescent="0.2">
      <c r="A21" t="s">
        <v>32</v>
      </c>
      <c r="B21" s="5">
        <f>6327-826</f>
        <v>5501</v>
      </c>
      <c r="C21" s="6" t="s">
        <v>39</v>
      </c>
      <c r="D21" s="16"/>
      <c r="E21" s="16"/>
      <c r="F21" s="16"/>
      <c r="G21" s="16"/>
      <c r="H21" s="1"/>
      <c r="L21" s="1"/>
      <c r="N21" s="5"/>
      <c r="O21" s="5"/>
    </row>
    <row r="22" spans="1:15" x14ac:dyDescent="0.2">
      <c r="H22" s="1"/>
      <c r="L22" s="1"/>
      <c r="N22" s="5"/>
      <c r="O22" s="5"/>
    </row>
    <row r="23" spans="1:15" x14ac:dyDescent="0.2">
      <c r="A23" t="s">
        <v>33</v>
      </c>
      <c r="H23" s="1"/>
      <c r="L23" s="1"/>
      <c r="M23" s="7"/>
      <c r="N23" s="7"/>
      <c r="O23" s="8"/>
    </row>
    <row r="24" spans="1:15" ht="16" thickBot="1" x14ac:dyDescent="0.25">
      <c r="A24" t="s">
        <v>34</v>
      </c>
      <c r="H24" s="1"/>
      <c r="L24" s="1"/>
      <c r="M24" s="7" t="s">
        <v>35</v>
      </c>
      <c r="N24" s="7"/>
      <c r="O24" s="13"/>
    </row>
    <row r="25" spans="1:15" x14ac:dyDescent="0.2">
      <c r="A25" t="s">
        <v>36</v>
      </c>
      <c r="L25" s="1"/>
    </row>
    <row r="26" spans="1:15" x14ac:dyDescent="0.2">
      <c r="A26" t="s">
        <v>37</v>
      </c>
      <c r="L26" s="1"/>
    </row>
    <row r="27" spans="1:15" x14ac:dyDescent="0.2">
      <c r="A27" t="s">
        <v>38</v>
      </c>
      <c r="L27" s="1"/>
    </row>
    <row r="28" spans="1:15" x14ac:dyDescent="0.2">
      <c r="L28" s="1"/>
    </row>
    <row r="31" spans="1:15" x14ac:dyDescent="0.2">
      <c r="A31" t="s">
        <v>40</v>
      </c>
      <c r="B31" s="17">
        <v>164501</v>
      </c>
      <c r="E31" t="s">
        <v>47</v>
      </c>
      <c r="F31">
        <v>77815</v>
      </c>
    </row>
    <row r="32" spans="1:15" x14ac:dyDescent="0.2">
      <c r="A32" t="s">
        <v>41</v>
      </c>
      <c r="C32">
        <v>30161</v>
      </c>
      <c r="E32" t="s">
        <v>48</v>
      </c>
      <c r="F32">
        <v>16994</v>
      </c>
    </row>
    <row r="33" spans="1:6" x14ac:dyDescent="0.2">
      <c r="A33" t="s">
        <v>42</v>
      </c>
      <c r="C33">
        <v>9740</v>
      </c>
      <c r="E33" t="s">
        <v>49</v>
      </c>
      <c r="F33">
        <v>5236</v>
      </c>
    </row>
    <row r="34" spans="1:6" x14ac:dyDescent="0.2">
      <c r="A34" t="s">
        <v>43</v>
      </c>
      <c r="C34">
        <v>11347</v>
      </c>
      <c r="E34" t="s">
        <v>50</v>
      </c>
      <c r="F34">
        <v>121346</v>
      </c>
    </row>
    <row r="35" spans="1:6" x14ac:dyDescent="0.2">
      <c r="A35" t="s">
        <v>44</v>
      </c>
      <c r="C35">
        <v>43873</v>
      </c>
      <c r="E35" t="s">
        <v>51</v>
      </c>
      <c r="F35">
        <v>20654</v>
      </c>
    </row>
    <row r="36" spans="1:6" x14ac:dyDescent="0.2">
      <c r="A36" t="s">
        <v>45</v>
      </c>
      <c r="C36">
        <v>7020</v>
      </c>
      <c r="E36" t="s">
        <v>52</v>
      </c>
      <c r="F36">
        <v>34009</v>
      </c>
    </row>
    <row r="38" spans="1:6" x14ac:dyDescent="0.2">
      <c r="A38" t="s">
        <v>46</v>
      </c>
      <c r="B38" s="17">
        <f>SUM(B31:B37)-SUM(C31:C37)</f>
        <v>62360</v>
      </c>
      <c r="E38" t="s">
        <v>53</v>
      </c>
      <c r="F38" s="17">
        <f>SUM(F31:F37)-SUM(G31:G37)</f>
        <v>276054</v>
      </c>
    </row>
    <row r="41" spans="1:6" x14ac:dyDescent="0.2">
      <c r="A41" t="s">
        <v>42</v>
      </c>
      <c r="C41">
        <v>9740</v>
      </c>
    </row>
    <row r="42" spans="1:6" x14ac:dyDescent="0.2">
      <c r="A42" t="s">
        <v>43</v>
      </c>
      <c r="C42">
        <v>11347</v>
      </c>
    </row>
    <row r="43" spans="1:6" x14ac:dyDescent="0.2">
      <c r="A43" t="s">
        <v>44</v>
      </c>
      <c r="C43">
        <v>43873</v>
      </c>
    </row>
    <row r="44" spans="1:6" x14ac:dyDescent="0.2">
      <c r="A44" t="s">
        <v>45</v>
      </c>
      <c r="C44">
        <v>7020</v>
      </c>
    </row>
    <row r="46" spans="1:6" x14ac:dyDescent="0.2">
      <c r="A46" t="s">
        <v>46</v>
      </c>
      <c r="B46" s="17">
        <f>SUM(B39:B45)-SUM(C39:C45)</f>
        <v>-71980</v>
      </c>
    </row>
  </sheetData>
  <mergeCells count="8">
    <mergeCell ref="I3:K3"/>
    <mergeCell ref="M3:O3"/>
    <mergeCell ref="A1:G1"/>
    <mergeCell ref="I1:K1"/>
    <mergeCell ref="M1:O1"/>
    <mergeCell ref="A2:G2"/>
    <mergeCell ref="I2:K2"/>
    <mergeCell ref="M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Nichols, Rebecca</dc:creator>
  <cp:lastModifiedBy>Gozek, Berk</cp:lastModifiedBy>
  <dcterms:created xsi:type="dcterms:W3CDTF">2025-09-17T15:43:36Z</dcterms:created>
  <dcterms:modified xsi:type="dcterms:W3CDTF">2026-02-10T21:34:52Z</dcterms:modified>
</cp:coreProperties>
</file>