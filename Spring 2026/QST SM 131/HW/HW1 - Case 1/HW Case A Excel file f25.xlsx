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hare-my.sharepoint.com/personal/rnichols_bu_edu/Documents/Documents/SM 131 Fall 2025/Discussion materials by week/Week 3/"/>
    </mc:Choice>
  </mc:AlternateContent>
  <xr:revisionPtr revIDLastSave="0" documentId="8_{964DAC81-A7C4-48FA-8784-C5DF85F3E501}" xr6:coauthVersionLast="47" xr6:coauthVersionMax="47" xr10:uidLastSave="{00000000-0000-0000-0000-000000000000}"/>
  <bookViews>
    <workbookView xWindow="25695" yWindow="2580" windowWidth="18930" windowHeight="16770" xr2:uid="{AAA664C2-FFBF-4A86-A12A-E831ACF7A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19" i="1"/>
  <c r="B15" i="1"/>
  <c r="B13" i="1"/>
  <c r="B12" i="1"/>
  <c r="B9" i="1"/>
  <c r="B7" i="1"/>
</calcChain>
</file>

<file path=xl/sharedStrings.xml><?xml version="1.0" encoding="utf-8"?>
<sst xmlns="http://schemas.openxmlformats.org/spreadsheetml/2006/main" count="40" uniqueCount="39">
  <si>
    <t>Company A</t>
  </si>
  <si>
    <t xml:space="preserve">Company A </t>
  </si>
  <si>
    <t>For the year ended December 31, 2019</t>
  </si>
  <si>
    <t>Income Statement</t>
  </si>
  <si>
    <t>Balance Sheet</t>
  </si>
  <si>
    <t>For the Year Ending December 31, 2019</t>
  </si>
  <si>
    <t>For the Year Ended December 31, 2019</t>
  </si>
  <si>
    <t>Account</t>
  </si>
  <si>
    <t>Amount         ($ millions)</t>
  </si>
  <si>
    <t>IS</t>
  </si>
  <si>
    <t>BS</t>
  </si>
  <si>
    <t>A</t>
  </si>
  <si>
    <t>L</t>
  </si>
  <si>
    <t>E</t>
  </si>
  <si>
    <t>Accounts payable</t>
  </si>
  <si>
    <t>Accounts receivable</t>
  </si>
  <si>
    <t>Accrued expenses and other current liabilities</t>
  </si>
  <si>
    <t>Additional paid-in capital</t>
  </si>
  <si>
    <t>Cash, cash equivalents, and marketable securities</t>
  </si>
  <si>
    <t>Cost of revenue</t>
  </si>
  <si>
    <t>General and administrative expense</t>
  </si>
  <si>
    <t>Intangible assets</t>
  </si>
  <si>
    <t>Long-term liabilities</t>
  </si>
  <si>
    <t>Marketing and sales expense</t>
  </si>
  <si>
    <t>Total Assets</t>
  </si>
  <si>
    <t>Other long-term assets</t>
  </si>
  <si>
    <t>Net Income</t>
  </si>
  <si>
    <t>Prepaid expenses and other current assets</t>
  </si>
  <si>
    <t>Property and equipment, net</t>
  </si>
  <si>
    <t>Research and development expense</t>
  </si>
  <si>
    <t>Retained earnings</t>
  </si>
  <si>
    <t>Revenue</t>
  </si>
  <si>
    <t>Tax and other expense</t>
  </si>
  <si>
    <r>
      <rPr>
        <b/>
        <u/>
        <sz val="11"/>
        <color theme="1"/>
        <rFont val="Aptos Narrow"/>
        <family val="2"/>
        <scheme val="minor"/>
      </rPr>
      <t>Assignment:</t>
    </r>
    <r>
      <rPr>
        <sz val="11"/>
        <color theme="1"/>
        <rFont val="Aptos Narrow"/>
        <family val="2"/>
        <scheme val="minor"/>
      </rPr>
      <t xml:space="preserve"> using the above information</t>
    </r>
  </si>
  <si>
    <r>
      <t xml:space="preserve">  (1) check (</t>
    </r>
    <r>
      <rPr>
        <sz val="11"/>
        <color theme="1"/>
        <rFont val="Aptos Narrow"/>
        <family val="2"/>
      </rPr>
      <t>✓</t>
    </r>
    <r>
      <rPr>
        <sz val="11"/>
        <color theme="1"/>
        <rFont val="Aptos Narrow"/>
        <family val="2"/>
        <scheme val="minor"/>
      </rPr>
      <t>) if the account relates to the Income Statement (IS) or Balance Sheet (BS)</t>
    </r>
  </si>
  <si>
    <t>Total Liabilities and Shareholders' Equity</t>
  </si>
  <si>
    <t xml:space="preserve">  (2) for BS items, check (✓) if the account relates to Assets (A), Liabilities (L), or Equity (E)</t>
  </si>
  <si>
    <t xml:space="preserve">  (3) construct the Income Statement and Balance Sheet for this firm, putting the accounts</t>
  </si>
  <si>
    <t xml:space="preserve">         into proper order and using appropriate subtotals and headings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</si>
</sst>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center"/>
    </xf>
    <xf numFmtId="0" fontId="0" fillId="2" borderId="0" xfId="0" applyFill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0" fillId="0" borderId="0" xfId="1" applyNumberFormat="1" applyFont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0" fillId="0" borderId="2" xfId="0" applyBorder="1"/>
    <xf numFmtId="164" fontId="0" fillId="0" borderId="3" xfId="1" applyNumberFormat="1" applyFont="1" applyBorder="1"/>
    <xf numFmtId="164" fontId="2" fillId="0" borderId="0" xfId="1" applyNumberFormat="1" applyFont="1"/>
    <xf numFmtId="164" fontId="2" fillId="0" borderId="2" xfId="0" applyNumberFormat="1" applyFont="1" applyBorder="1"/>
    <xf numFmtId="164" fontId="2" fillId="0" borderId="4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BFE1-F533-4ADA-8F78-E065D82AF3B4}">
  <dimension ref="A1:O28"/>
  <sheetViews>
    <sheetView tabSelected="1" workbookViewId="0">
      <selection activeCell="I34" sqref="I34"/>
    </sheetView>
  </sheetViews>
  <sheetFormatPr defaultRowHeight="15" x14ac:dyDescent="0.25"/>
  <cols>
    <col min="8" max="8" width="23.140625" customWidth="1"/>
    <col min="11" max="11" width="28.140625" customWidth="1"/>
  </cols>
  <sheetData>
    <row r="1" spans="1:15" ht="15.75" x14ac:dyDescent="0.25">
      <c r="A1" s="1" t="s">
        <v>0</v>
      </c>
      <c r="B1" s="1"/>
      <c r="C1" s="1"/>
      <c r="D1" s="1"/>
      <c r="E1" s="1"/>
      <c r="F1" s="1"/>
      <c r="G1" s="1"/>
      <c r="H1" s="2"/>
      <c r="I1" s="3" t="s">
        <v>1</v>
      </c>
      <c r="J1" s="3"/>
      <c r="K1" s="3"/>
      <c r="L1" s="2"/>
      <c r="M1" s="3" t="s">
        <v>1</v>
      </c>
      <c r="N1" s="3"/>
      <c r="O1" s="3"/>
    </row>
    <row r="2" spans="1:15" ht="15.75" x14ac:dyDescent="0.25">
      <c r="A2" s="1" t="s">
        <v>2</v>
      </c>
      <c r="B2" s="1"/>
      <c r="C2" s="1"/>
      <c r="D2" s="1"/>
      <c r="E2" s="1"/>
      <c r="F2" s="1"/>
      <c r="G2" s="1"/>
      <c r="H2" s="2"/>
      <c r="I2" s="3" t="s">
        <v>3</v>
      </c>
      <c r="J2" s="3"/>
      <c r="K2" s="3"/>
      <c r="L2" s="2"/>
      <c r="M2" s="3" t="s">
        <v>4</v>
      </c>
      <c r="N2" s="3"/>
      <c r="O2" s="3"/>
    </row>
    <row r="3" spans="1:15" ht="15.75" x14ac:dyDescent="0.25">
      <c r="H3" s="2"/>
      <c r="I3" s="3" t="s">
        <v>5</v>
      </c>
      <c r="J3" s="3"/>
      <c r="K3" s="3"/>
      <c r="L3" s="2"/>
      <c r="M3" s="3" t="s">
        <v>6</v>
      </c>
      <c r="N3" s="3"/>
      <c r="O3" s="3"/>
    </row>
    <row r="4" spans="1:15" ht="45" x14ac:dyDescent="0.25">
      <c r="A4" s="4" t="s">
        <v>7</v>
      </c>
      <c r="B4" s="5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2"/>
      <c r="L4" s="2"/>
    </row>
    <row r="5" spans="1:15" x14ac:dyDescent="0.25">
      <c r="A5" t="s">
        <v>14</v>
      </c>
      <c r="B5" s="7">
        <v>1363</v>
      </c>
      <c r="C5" s="8"/>
      <c r="D5" s="9"/>
      <c r="E5" s="8"/>
      <c r="F5" s="9"/>
      <c r="G5" s="8"/>
      <c r="H5" s="2"/>
      <c r="J5" s="7"/>
      <c r="K5" s="7"/>
      <c r="L5" s="2"/>
      <c r="N5" s="7"/>
    </row>
    <row r="6" spans="1:15" x14ac:dyDescent="0.25">
      <c r="A6" t="s">
        <v>15</v>
      </c>
      <c r="B6" s="7">
        <v>9518</v>
      </c>
      <c r="C6" s="8"/>
      <c r="D6" s="9"/>
      <c r="E6" s="9"/>
      <c r="F6" s="8"/>
      <c r="G6" s="8"/>
      <c r="H6" s="2"/>
      <c r="L6" s="2"/>
      <c r="N6" s="7"/>
    </row>
    <row r="7" spans="1:15" x14ac:dyDescent="0.25">
      <c r="A7" t="s">
        <v>16</v>
      </c>
      <c r="B7" s="7">
        <f>886+800+11735+269</f>
        <v>13690</v>
      </c>
      <c r="C7" s="8"/>
      <c r="D7" s="9"/>
      <c r="E7" s="8"/>
      <c r="F7" s="9"/>
      <c r="G7" s="8"/>
      <c r="H7" s="2"/>
      <c r="J7" s="7"/>
      <c r="L7" s="2"/>
      <c r="N7" s="7"/>
    </row>
    <row r="8" spans="1:15" x14ac:dyDescent="0.25">
      <c r="A8" t="s">
        <v>17</v>
      </c>
      <c r="B8" s="7">
        <v>45851</v>
      </c>
      <c r="C8" s="8"/>
      <c r="D8" s="9"/>
      <c r="E8" s="8"/>
      <c r="F8" s="8"/>
      <c r="G8" s="9"/>
      <c r="H8" s="2"/>
      <c r="J8" s="7"/>
      <c r="K8" s="7"/>
      <c r="L8" s="2"/>
      <c r="M8" s="10"/>
      <c r="N8" s="7"/>
      <c r="O8" s="11"/>
    </row>
    <row r="9" spans="1:15" x14ac:dyDescent="0.25">
      <c r="A9" s="12" t="s">
        <v>18</v>
      </c>
      <c r="B9" s="13">
        <f>19079+35776</f>
        <v>54855</v>
      </c>
      <c r="C9" s="8"/>
      <c r="D9" s="9"/>
      <c r="E9" s="9"/>
      <c r="F9" s="8"/>
      <c r="G9" s="8"/>
      <c r="H9" s="2"/>
      <c r="J9" s="7"/>
      <c r="K9" s="7"/>
      <c r="L9" s="2"/>
      <c r="N9" s="7"/>
    </row>
    <row r="10" spans="1:15" x14ac:dyDescent="0.25">
      <c r="A10" t="s">
        <v>19</v>
      </c>
      <c r="B10" s="7">
        <v>12770</v>
      </c>
      <c r="C10" s="9"/>
      <c r="D10" s="8"/>
      <c r="E10" s="8"/>
      <c r="F10" s="8"/>
      <c r="G10" s="8"/>
      <c r="H10" s="2"/>
      <c r="J10" s="7"/>
      <c r="K10" s="7"/>
      <c r="L10" s="2"/>
      <c r="N10" s="7"/>
    </row>
    <row r="11" spans="1:15" x14ac:dyDescent="0.25">
      <c r="A11" t="s">
        <v>20</v>
      </c>
      <c r="B11" s="7">
        <v>10465</v>
      </c>
      <c r="C11" s="9"/>
      <c r="D11" s="8"/>
      <c r="E11" s="8"/>
      <c r="F11" s="8"/>
      <c r="G11" s="8"/>
      <c r="H11" s="2"/>
      <c r="J11" s="7"/>
      <c r="K11" s="7"/>
      <c r="L11" s="2"/>
      <c r="N11" s="7"/>
    </row>
    <row r="12" spans="1:15" x14ac:dyDescent="0.25">
      <c r="A12" t="s">
        <v>21</v>
      </c>
      <c r="B12" s="7">
        <f>894+18715</f>
        <v>19609</v>
      </c>
      <c r="C12" s="8"/>
      <c r="D12" s="9"/>
      <c r="E12" s="9"/>
      <c r="F12" s="8"/>
      <c r="G12" s="8"/>
      <c r="H12" s="2"/>
      <c r="J12" s="7"/>
      <c r="K12" s="7"/>
      <c r="L12" s="2"/>
      <c r="N12" s="7"/>
    </row>
    <row r="13" spans="1:15" x14ac:dyDescent="0.25">
      <c r="A13" t="s">
        <v>22</v>
      </c>
      <c r="B13" s="7">
        <f>9524+7745</f>
        <v>17269</v>
      </c>
      <c r="C13" s="8"/>
      <c r="D13" s="9"/>
      <c r="E13" s="8"/>
      <c r="F13" s="9"/>
      <c r="G13" s="8"/>
      <c r="H13" s="2"/>
      <c r="L13" s="2"/>
      <c r="M13" s="10"/>
      <c r="N13" s="14"/>
      <c r="O13" s="15"/>
    </row>
    <row r="14" spans="1:15" ht="15.75" thickBot="1" x14ac:dyDescent="0.3">
      <c r="A14" s="12" t="s">
        <v>23</v>
      </c>
      <c r="B14" s="13">
        <v>9876</v>
      </c>
      <c r="C14" s="9"/>
      <c r="D14" s="8"/>
      <c r="E14" s="8"/>
      <c r="F14" s="8"/>
      <c r="G14" s="8"/>
      <c r="H14" s="2"/>
      <c r="K14" s="7"/>
      <c r="L14" s="2"/>
      <c r="M14" s="10" t="s">
        <v>24</v>
      </c>
      <c r="N14" s="14"/>
      <c r="O14" s="16"/>
    </row>
    <row r="15" spans="1:15" ht="15.75" thickBot="1" x14ac:dyDescent="0.3">
      <c r="A15" t="s">
        <v>25</v>
      </c>
      <c r="B15" s="7">
        <f>9460+2759</f>
        <v>12219</v>
      </c>
      <c r="C15" s="8"/>
      <c r="D15" s="9"/>
      <c r="E15" s="9"/>
      <c r="F15" s="8"/>
      <c r="G15" s="8"/>
      <c r="H15" s="2"/>
      <c r="I15" s="10" t="s">
        <v>26</v>
      </c>
      <c r="J15" s="10"/>
      <c r="K15" s="16"/>
      <c r="L15" s="2"/>
      <c r="N15" s="7"/>
    </row>
    <row r="16" spans="1:15" x14ac:dyDescent="0.25">
      <c r="A16" t="s">
        <v>27</v>
      </c>
      <c r="B16" s="7">
        <v>1852</v>
      </c>
      <c r="C16" s="8"/>
      <c r="D16" s="9"/>
      <c r="E16" s="9"/>
      <c r="F16" s="8"/>
      <c r="G16" s="8"/>
      <c r="H16" s="2"/>
      <c r="L16" s="2"/>
      <c r="N16" s="7"/>
      <c r="O16" s="7"/>
    </row>
    <row r="17" spans="1:15" x14ac:dyDescent="0.25">
      <c r="A17" t="s">
        <v>28</v>
      </c>
      <c r="B17" s="7">
        <v>35323</v>
      </c>
      <c r="C17" s="8"/>
      <c r="D17" s="9"/>
      <c r="E17" s="9"/>
      <c r="F17" s="8"/>
      <c r="G17" s="8"/>
      <c r="H17" s="2"/>
      <c r="L17" s="2"/>
      <c r="N17" s="7"/>
      <c r="O17" s="7"/>
    </row>
    <row r="18" spans="1:15" x14ac:dyDescent="0.25">
      <c r="A18" t="s">
        <v>29</v>
      </c>
      <c r="B18" s="7">
        <v>13600</v>
      </c>
      <c r="C18" s="9"/>
      <c r="D18" s="8"/>
      <c r="E18" s="8"/>
      <c r="F18" s="8"/>
      <c r="G18" s="8"/>
      <c r="H18" s="2"/>
      <c r="L18" s="2"/>
      <c r="N18" s="7"/>
      <c r="O18" s="7"/>
    </row>
    <row r="19" spans="1:15" x14ac:dyDescent="0.25">
      <c r="A19" s="12" t="s">
        <v>30</v>
      </c>
      <c r="B19" s="13">
        <f>55692-489</f>
        <v>55203</v>
      </c>
      <c r="C19" s="8"/>
      <c r="D19" s="9"/>
      <c r="E19" s="8"/>
      <c r="F19" s="8"/>
      <c r="G19" s="9"/>
      <c r="H19" s="2"/>
      <c r="L19" s="2"/>
      <c r="N19" s="7"/>
      <c r="O19" s="7"/>
    </row>
    <row r="20" spans="1:15" x14ac:dyDescent="0.25">
      <c r="A20" t="s">
        <v>31</v>
      </c>
      <c r="B20" s="7">
        <v>70697</v>
      </c>
      <c r="C20" s="9"/>
      <c r="D20" s="8"/>
      <c r="E20" s="8"/>
      <c r="F20" s="8"/>
      <c r="G20" s="8"/>
      <c r="H20" s="2"/>
      <c r="L20" s="2"/>
      <c r="M20" s="10"/>
      <c r="N20" s="7"/>
      <c r="O20" s="7"/>
    </row>
    <row r="21" spans="1:15" x14ac:dyDescent="0.25">
      <c r="A21" t="s">
        <v>32</v>
      </c>
      <c r="B21" s="7">
        <f>6327-826</f>
        <v>5501</v>
      </c>
      <c r="C21" s="9"/>
      <c r="D21" s="8"/>
      <c r="E21" s="8"/>
      <c r="F21" s="8"/>
      <c r="G21" s="8"/>
      <c r="H21" s="2"/>
      <c r="L21" s="2"/>
      <c r="N21" s="7"/>
      <c r="O21" s="7"/>
    </row>
    <row r="22" spans="1:15" x14ac:dyDescent="0.25">
      <c r="H22" s="2"/>
      <c r="L22" s="2"/>
      <c r="N22" s="7"/>
      <c r="O22" s="7"/>
    </row>
    <row r="23" spans="1:15" x14ac:dyDescent="0.25">
      <c r="A23" t="s">
        <v>33</v>
      </c>
      <c r="H23" s="2"/>
      <c r="L23" s="2"/>
      <c r="M23" s="10"/>
      <c r="N23" s="10"/>
      <c r="O23" s="11"/>
    </row>
    <row r="24" spans="1:15" ht="15.75" thickBot="1" x14ac:dyDescent="0.3">
      <c r="A24" t="s">
        <v>34</v>
      </c>
      <c r="H24" s="2"/>
      <c r="L24" s="2"/>
      <c r="M24" s="10" t="s">
        <v>35</v>
      </c>
      <c r="N24" s="10"/>
      <c r="O24" s="16"/>
    </row>
    <row r="25" spans="1:15" x14ac:dyDescent="0.25">
      <c r="A25" t="s">
        <v>36</v>
      </c>
      <c r="L25" s="2"/>
    </row>
    <row r="26" spans="1:15" x14ac:dyDescent="0.25">
      <c r="A26" t="s">
        <v>37</v>
      </c>
      <c r="L26" s="2"/>
    </row>
    <row r="27" spans="1:15" x14ac:dyDescent="0.25">
      <c r="A27" t="s">
        <v>38</v>
      </c>
      <c r="L27" s="2"/>
    </row>
    <row r="28" spans="1:15" x14ac:dyDescent="0.25">
      <c r="L28" s="2"/>
    </row>
  </sheetData>
  <mergeCells count="8">
    <mergeCell ref="I3:K3"/>
    <mergeCell ref="M3:O3"/>
    <mergeCell ref="A1:G1"/>
    <mergeCell ref="I1:K1"/>
    <mergeCell ref="M1:O1"/>
    <mergeCell ref="A2:G2"/>
    <mergeCell ref="I2:K2"/>
    <mergeCell ref="M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Nichols, Rebecca</dc:creator>
  <cp:lastModifiedBy>Nichols, Rebecca</cp:lastModifiedBy>
  <dcterms:created xsi:type="dcterms:W3CDTF">2025-09-17T15:43:36Z</dcterms:created>
  <dcterms:modified xsi:type="dcterms:W3CDTF">2025-09-17T15:44:34Z</dcterms:modified>
</cp:coreProperties>
</file>